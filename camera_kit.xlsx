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camera_kits\"/>
    </mc:Choice>
  </mc:AlternateContent>
  <xr:revisionPtr revIDLastSave="0" documentId="13_ncr:1_{5F7CC6B2-01F0-491D-B88B-9227804ED6C9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1" l="1"/>
  <c r="J12" i="1"/>
  <c r="I4" i="1"/>
  <c r="J4" i="1"/>
  <c r="I9" i="1"/>
  <c r="J9" i="1"/>
  <c r="I14" i="1"/>
  <c r="J14" i="1"/>
  <c r="I5" i="1"/>
  <c r="J5" i="1"/>
  <c r="J15" i="1"/>
  <c r="J13" i="1"/>
  <c r="J3" i="1"/>
  <c r="J6" i="1"/>
  <c r="J11" i="1"/>
  <c r="J2" i="1"/>
  <c r="J8" i="1"/>
  <c r="J7" i="1"/>
  <c r="J10" i="1"/>
  <c r="J17" i="1"/>
  <c r="J16" i="1"/>
  <c r="I13" i="1"/>
  <c r="I3" i="1"/>
  <c r="I6" i="1"/>
  <c r="I11" i="1"/>
  <c r="I2" i="1"/>
  <c r="I8" i="1"/>
  <c r="I7" i="1"/>
  <c r="I10" i="1"/>
  <c r="I17" i="1"/>
  <c r="I16" i="1"/>
  <c r="I15" i="1"/>
  <c r="J18" i="1" l="1"/>
  <c r="I18" i="1"/>
</calcChain>
</file>

<file path=xl/sharedStrings.xml><?xml version="1.0" encoding="utf-8"?>
<sst xmlns="http://schemas.openxmlformats.org/spreadsheetml/2006/main" count="51" uniqueCount="37">
  <si>
    <t>Item</t>
  </si>
  <si>
    <t>Price CNY</t>
  </si>
  <si>
    <t>Notes</t>
  </si>
  <si>
    <t>Sony A7C2</t>
  </si>
  <si>
    <t>转转二手。国行新品11000</t>
  </si>
  <si>
    <t>配件</t>
  </si>
  <si>
    <t>四个UV镜，背包，快门线，CMOS清洁套装</t>
  </si>
  <si>
    <t>黑柔滤镜1/4</t>
  </si>
  <si>
    <t>重量 g</t>
  </si>
  <si>
    <t>焦距 mm</t>
  </si>
  <si>
    <t>直径 mm</t>
  </si>
  <si>
    <t>Buy</t>
  </si>
  <si>
    <t>Budget</t>
  </si>
  <si>
    <t>20-200</t>
  </si>
  <si>
    <t>七工匠</t>
  </si>
  <si>
    <t>光圈</t>
  </si>
  <si>
    <t>3.5-6.3</t>
  </si>
  <si>
    <t>1.4</t>
  </si>
  <si>
    <t>1.8</t>
  </si>
  <si>
    <t>2.0</t>
  </si>
  <si>
    <t>永诺</t>
  </si>
  <si>
    <t>唯卓仕</t>
  </si>
  <si>
    <t>Carried</t>
  </si>
  <si>
    <t>思锐</t>
  </si>
  <si>
    <t>适马</t>
  </si>
  <si>
    <t>更常用于50mm以上焦段</t>
  </si>
  <si>
    <t>拼多多。二手并不便宜。第一个镜头优先探索焦段需求，暂缓考虑画质</t>
  </si>
  <si>
    <t>也太重了！</t>
  </si>
  <si>
    <t>也太重了！而且是2021年的</t>
  </si>
  <si>
    <t>Year</t>
  </si>
  <si>
    <t>SD卡</t>
  </si>
  <si>
    <t>索尼</t>
  </si>
  <si>
    <t>二手1700。新的3300</t>
  </si>
  <si>
    <t>二手。新的3900</t>
  </si>
  <si>
    <t>二手3000左右。新的3600。偏重。二手比较贵</t>
  </si>
  <si>
    <t>二手。新的3500</t>
  </si>
  <si>
    <t>128G，约2000张Raw+Jpg。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</si>
</sst>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Microsoft YaHei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8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49" fontId="2" fillId="0" borderId="0" xfId="0" applyNumberFormat="1" applyFont="1"/>
    <xf numFmtId="164" fontId="2" fillId="0" borderId="0" xfId="1" applyNumberFormat="1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/>
    <xf numFmtId="164" fontId="2" fillId="2" borderId="0" xfId="1" applyNumberFormat="1" applyFont="1" applyFill="1"/>
    <xf numFmtId="0" fontId="2" fillId="3" borderId="0" xfId="0" applyFont="1" applyFill="1"/>
    <xf numFmtId="0" fontId="2" fillId="3" borderId="0" xfId="0" applyFont="1" applyFill="1" applyAlignment="1">
      <alignment horizontal="center"/>
    </xf>
    <xf numFmtId="49" fontId="2" fillId="3" borderId="0" xfId="0" applyNumberFormat="1" applyFont="1" applyFill="1"/>
    <xf numFmtId="164" fontId="2" fillId="3" borderId="0" xfId="1" applyNumberFormat="1" applyFont="1" applyFill="1"/>
    <xf numFmtId="0" fontId="2" fillId="4" borderId="0" xfId="0" applyFont="1" applyFill="1"/>
    <xf numFmtId="0" fontId="2" fillId="4" borderId="0" xfId="0" applyFont="1" applyFill="1" applyAlignment="1">
      <alignment horizontal="center"/>
    </xf>
    <xf numFmtId="49" fontId="2" fillId="4" borderId="0" xfId="0" applyNumberFormat="1" applyFont="1" applyFill="1"/>
    <xf numFmtId="164" fontId="2" fillId="4" borderId="0" xfId="1" applyNumberFormat="1" applyFont="1" applyFill="1"/>
    <xf numFmtId="164" fontId="2" fillId="0" borderId="0" xfId="0" applyNumberFormat="1" applyFont="1"/>
  </cellXfs>
  <cellStyles count="2">
    <cellStyle name="Komma" xfId="1" builtinId="3"/>
    <cellStyle name="Normal" xfId="0" builtinId="0"/>
  </cellStyles>
  <dxfs count="2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  <numFmt numFmtId="164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  <numFmt numFmtId="164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  <numFmt numFmtId="164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  <numFmt numFmtId="164" formatCode="_ * #,##0_ ;_ * \-#,##0_ ;_ * &quot;-&quot;??_ ;_ @_ "/>
    </dxf>
    <dxf>
      <font>
        <strike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  <numFmt numFmtId="164" formatCode="_ * #,##0_ ;_ * \-#,##0_ ;_ * &quot;-&quot;??_ ;_ @_ "/>
    </dxf>
    <dxf>
      <font>
        <strike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  <numFmt numFmtId="164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44A64F-1F32-4A13-9687-9F9344E00A77}" name="Tabell1" displayName="Tabell1" ref="A1:K18" totalsRowCount="1" headerRowDxfId="24" dataDxfId="23" totalsRowDxfId="22">
  <autoFilter ref="A1:K17" xr:uid="{4B44A64F-1F32-4A13-9687-9F9344E00A77}"/>
  <sortState xmlns:xlrd2="http://schemas.microsoft.com/office/spreadsheetml/2017/richdata2" ref="A2:K17">
    <sortCondition ref="B1:B17"/>
  </sortState>
  <tableColumns count="11">
    <tableColumn id="1" xr3:uid="{F96E38C4-EE51-47B2-8465-83D716E7CD86}" name="Item" dataDxfId="21" totalsRowDxfId="10"/>
    <tableColumn id="5" xr3:uid="{290B4921-101D-4EC3-9BA1-72D2EE653077}" name="焦距 mm" dataDxfId="20" totalsRowDxfId="9"/>
    <tableColumn id="11" xr3:uid="{CAD9269C-2D02-4EEB-96CE-D8D67E629307}" name="光圈" dataDxfId="19" totalsRowDxfId="8"/>
    <tableColumn id="6" xr3:uid="{CD3928A2-7D3B-42FF-8165-D81DFAA90150}" name="重量 g" dataDxfId="18" totalsRowDxfId="7"/>
    <tableColumn id="4" xr3:uid="{9993376C-30BF-47B2-8496-1B7D76B01E7D}" name="直径 mm" dataDxfId="17" totalsRowDxfId="6"/>
    <tableColumn id="9" xr3:uid="{7F550482-A657-4C51-BECA-FD7AD22A173C}" name="Year" dataDxfId="16" totalsRowDxfId="5"/>
    <tableColumn id="8" xr3:uid="{8BF984FB-FE14-461C-B7B8-271BAF39CF27}" name="Price CNY" dataDxfId="15" totalsRowDxfId="4" dataCellStyle="Komma"/>
    <tableColumn id="7" xr3:uid="{254F7275-9C66-4096-9CA9-A474E7A7FA27}" name="Buy" dataDxfId="14" totalsRowDxfId="3"/>
    <tableColumn id="2" xr3:uid="{C562AE0D-0297-468F-B857-0C7E741F4CAF}" name="Budget" totalsRowFunction="sum" dataDxfId="13" totalsRowDxfId="2" dataCellStyle="Komma">
      <calculatedColumnFormula>Tabell1[[#This Row],[Buy]]*Tabell1[[#This Row],[Price CNY]]</calculatedColumnFormula>
    </tableColumn>
    <tableColumn id="10" xr3:uid="{60048395-27AC-49C9-A0CE-E9BBDB4150EF}" name="Carried" totalsRowFunction="sum" dataDxfId="12" totalsRowDxfId="1" dataCellStyle="Komma">
      <calculatedColumnFormula>Tabell1[[#This Row],[Buy]]*Tabell1[[#This Row],[重量 g]]</calculatedColumnFormula>
    </tableColumn>
    <tableColumn id="3" xr3:uid="{22514279-C08A-4A21-8911-E2CF7BD669F0}" name="Notes" dataDxfId="1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8"/>
  <sheetViews>
    <sheetView tabSelected="1" zoomScale="130" zoomScaleNormal="130" workbookViewId="0">
      <selection activeCell="K14" sqref="K14"/>
    </sheetView>
  </sheetViews>
  <sheetFormatPr baseColWidth="10" defaultColWidth="9.140625" defaultRowHeight="16.5" x14ac:dyDescent="0.3"/>
  <cols>
    <col min="1" max="1" width="13.28515625" style="1" bestFit="1" customWidth="1"/>
    <col min="2" max="2" width="15" style="2" bestFit="1" customWidth="1"/>
    <col min="3" max="3" width="8.42578125" style="1" bestFit="1" customWidth="1"/>
    <col min="4" max="4" width="9.85546875" style="1" bestFit="1" customWidth="1"/>
    <col min="5" max="5" width="12.7109375" style="1" bestFit="1" customWidth="1"/>
    <col min="6" max="6" width="8.42578125" style="1" bestFit="1" customWidth="1"/>
    <col min="7" max="7" width="15.28515625" style="4" bestFit="1" customWidth="1"/>
    <col min="8" max="8" width="7.7109375" style="1" bestFit="1" customWidth="1"/>
    <col min="9" max="9" width="12.5703125" style="4" bestFit="1" customWidth="1"/>
    <col min="10" max="10" width="12.42578125" style="4" bestFit="1" customWidth="1"/>
    <col min="11" max="11" width="73.7109375" style="1" bestFit="1" customWidth="1"/>
    <col min="12" max="16384" width="9.140625" style="1"/>
  </cols>
  <sheetData>
    <row r="1" spans="1:11" x14ac:dyDescent="0.3">
      <c r="A1" s="1" t="s">
        <v>0</v>
      </c>
      <c r="B1" s="2" t="s">
        <v>9</v>
      </c>
      <c r="C1" s="3" t="s">
        <v>15</v>
      </c>
      <c r="D1" s="1" t="s">
        <v>8</v>
      </c>
      <c r="E1" s="1" t="s">
        <v>10</v>
      </c>
      <c r="F1" s="1" t="s">
        <v>29</v>
      </c>
      <c r="G1" s="4" t="s">
        <v>1</v>
      </c>
      <c r="H1" s="1" t="s">
        <v>11</v>
      </c>
      <c r="I1" s="4" t="s">
        <v>12</v>
      </c>
      <c r="J1" s="4" t="s">
        <v>22</v>
      </c>
      <c r="K1" s="1" t="s">
        <v>2</v>
      </c>
    </row>
    <row r="2" spans="1:11" s="5" customFormat="1" x14ac:dyDescent="0.3">
      <c r="A2" s="5" t="s">
        <v>14</v>
      </c>
      <c r="B2" s="6">
        <v>35</v>
      </c>
      <c r="C2" s="7" t="s">
        <v>18</v>
      </c>
      <c r="D2" s="5">
        <v>426</v>
      </c>
      <c r="E2" s="5">
        <v>62</v>
      </c>
      <c r="F2" s="5">
        <v>2025</v>
      </c>
      <c r="G2" s="8">
        <v>1550</v>
      </c>
      <c r="I2" s="8">
        <f>Tabell1[[#This Row],[Buy]]*Tabell1[[#This Row],[Price CNY]]</f>
        <v>0</v>
      </c>
      <c r="J2" s="8">
        <f>Tabell1[[#This Row],[Buy]]*Tabell1[[#This Row],[重量 g]]</f>
        <v>0</v>
      </c>
    </row>
    <row r="3" spans="1:11" s="5" customFormat="1" x14ac:dyDescent="0.3">
      <c r="A3" s="5" t="s">
        <v>23</v>
      </c>
      <c r="B3" s="6">
        <v>35</v>
      </c>
      <c r="C3" s="7" t="s">
        <v>17</v>
      </c>
      <c r="D3" s="5">
        <v>490</v>
      </c>
      <c r="E3" s="5">
        <v>62</v>
      </c>
      <c r="F3" s="5">
        <v>2025</v>
      </c>
      <c r="G3" s="8">
        <v>3000</v>
      </c>
      <c r="H3" s="5">
        <v>1</v>
      </c>
      <c r="I3" s="8">
        <f>Tabell1[[#This Row],[Buy]]*Tabell1[[#This Row],[Price CNY]]</f>
        <v>3000</v>
      </c>
      <c r="J3" s="8">
        <f>Tabell1[[#This Row],[Buy]]*Tabell1[[#This Row],[重量 g]]</f>
        <v>490</v>
      </c>
      <c r="K3" s="5" t="s">
        <v>34</v>
      </c>
    </row>
    <row r="4" spans="1:11" s="5" customFormat="1" x14ac:dyDescent="0.3">
      <c r="A4" s="5" t="s">
        <v>31</v>
      </c>
      <c r="B4" s="6">
        <v>35</v>
      </c>
      <c r="C4" s="7" t="s">
        <v>18</v>
      </c>
      <c r="D4" s="5">
        <v>280</v>
      </c>
      <c r="E4" s="5">
        <v>55</v>
      </c>
      <c r="F4" s="5">
        <v>2019</v>
      </c>
      <c r="G4" s="8">
        <v>2500</v>
      </c>
      <c r="I4" s="8">
        <f>Tabell1[[#This Row],[Buy]]*Tabell1[[#This Row],[Price CNY]]</f>
        <v>0</v>
      </c>
      <c r="J4" s="8">
        <f>Tabell1[[#This Row],[Buy]]*Tabell1[[#This Row],[重量 g]]</f>
        <v>0</v>
      </c>
      <c r="K4" s="5" t="s">
        <v>33</v>
      </c>
    </row>
    <row r="5" spans="1:11" s="5" customFormat="1" x14ac:dyDescent="0.3">
      <c r="A5" s="5" t="s">
        <v>24</v>
      </c>
      <c r="B5" s="6">
        <v>35</v>
      </c>
      <c r="C5" s="7" t="s">
        <v>17</v>
      </c>
      <c r="D5" s="5">
        <v>645</v>
      </c>
      <c r="E5" s="5">
        <v>67</v>
      </c>
      <c r="F5" s="5">
        <v>2021</v>
      </c>
      <c r="G5" s="8">
        <v>4700</v>
      </c>
      <c r="I5" s="8">
        <f>Tabell1[[#This Row],[Buy]]*Tabell1[[#This Row],[Price CNY]]</f>
        <v>0</v>
      </c>
      <c r="J5" s="8">
        <f>Tabell1[[#This Row],[Buy]]*Tabell1[[#This Row],[重量 g]]</f>
        <v>0</v>
      </c>
      <c r="K5" s="5" t="s">
        <v>28</v>
      </c>
    </row>
    <row r="6" spans="1:11" s="9" customFormat="1" x14ac:dyDescent="0.3">
      <c r="A6" s="9" t="s">
        <v>14</v>
      </c>
      <c r="B6" s="10">
        <v>50</v>
      </c>
      <c r="C6" s="11" t="s">
        <v>18</v>
      </c>
      <c r="D6" s="9">
        <v>421</v>
      </c>
      <c r="E6" s="9">
        <v>62</v>
      </c>
      <c r="F6" s="9">
        <v>2023</v>
      </c>
      <c r="G6" s="12">
        <v>1000</v>
      </c>
      <c r="I6" s="12">
        <f>Tabell1[[#This Row],[Buy]]*Tabell1[[#This Row],[Price CNY]]</f>
        <v>0</v>
      </c>
      <c r="J6" s="12">
        <f>Tabell1[[#This Row],[Buy]]*Tabell1[[#This Row],[重量 g]]</f>
        <v>0</v>
      </c>
      <c r="K6" s="9" t="s">
        <v>27</v>
      </c>
    </row>
    <row r="7" spans="1:11" s="9" customFormat="1" x14ac:dyDescent="0.3">
      <c r="A7" s="9" t="s">
        <v>21</v>
      </c>
      <c r="B7" s="10">
        <v>50</v>
      </c>
      <c r="C7" s="11" t="s">
        <v>19</v>
      </c>
      <c r="D7" s="9">
        <v>205</v>
      </c>
      <c r="E7" s="9">
        <v>58</v>
      </c>
      <c r="F7" s="9">
        <v>2025</v>
      </c>
      <c r="G7" s="12">
        <v>1000</v>
      </c>
      <c r="I7" s="12">
        <f>Tabell1[[#This Row],[Buy]]*Tabell1[[#This Row],[Price CNY]]</f>
        <v>0</v>
      </c>
      <c r="J7" s="12">
        <f>Tabell1[[#This Row],[Buy]]*Tabell1[[#This Row],[重量 g]]</f>
        <v>0</v>
      </c>
    </row>
    <row r="8" spans="1:11" s="9" customFormat="1" x14ac:dyDescent="0.3">
      <c r="A8" s="9" t="s">
        <v>20</v>
      </c>
      <c r="B8" s="10">
        <v>50</v>
      </c>
      <c r="C8" s="11" t="s">
        <v>18</v>
      </c>
      <c r="D8" s="9">
        <v>273</v>
      </c>
      <c r="E8" s="9">
        <v>58</v>
      </c>
      <c r="F8" s="9">
        <v>2025</v>
      </c>
      <c r="G8" s="12">
        <v>800</v>
      </c>
      <c r="I8" s="12">
        <f>Tabell1[[#This Row],[Buy]]*Tabell1[[#This Row],[Price CNY]]</f>
        <v>0</v>
      </c>
      <c r="J8" s="12">
        <f>Tabell1[[#This Row],[Buy]]*Tabell1[[#This Row],[重量 g]]</f>
        <v>0</v>
      </c>
    </row>
    <row r="9" spans="1:11" s="9" customFormat="1" x14ac:dyDescent="0.3">
      <c r="A9" s="9" t="s">
        <v>31</v>
      </c>
      <c r="B9" s="10">
        <v>55</v>
      </c>
      <c r="C9" s="11" t="s">
        <v>18</v>
      </c>
      <c r="D9" s="9">
        <v>281</v>
      </c>
      <c r="E9" s="9">
        <v>49</v>
      </c>
      <c r="F9" s="9">
        <v>2013</v>
      </c>
      <c r="G9" s="12">
        <v>1700</v>
      </c>
      <c r="H9" s="9">
        <v>1</v>
      </c>
      <c r="I9" s="12">
        <f>Tabell1[[#This Row],[Buy]]*Tabell1[[#This Row],[Price CNY]]</f>
        <v>1700</v>
      </c>
      <c r="J9" s="12">
        <f>Tabell1[[#This Row],[Buy]]*Tabell1[[#This Row],[重量 g]]</f>
        <v>281</v>
      </c>
      <c r="K9" s="9" t="s">
        <v>32</v>
      </c>
    </row>
    <row r="10" spans="1:11" s="13" customFormat="1" x14ac:dyDescent="0.3">
      <c r="A10" s="13" t="s">
        <v>14</v>
      </c>
      <c r="B10" s="14">
        <v>85</v>
      </c>
      <c r="C10" s="15" t="s">
        <v>18</v>
      </c>
      <c r="D10" s="13">
        <v>440</v>
      </c>
      <c r="E10" s="13">
        <v>62</v>
      </c>
      <c r="F10" s="13">
        <v>2024</v>
      </c>
      <c r="G10" s="16">
        <v>1500</v>
      </c>
      <c r="I10" s="16">
        <f>Tabell1[[#This Row],[Buy]]*Tabell1[[#This Row],[Price CNY]]</f>
        <v>0</v>
      </c>
      <c r="J10" s="16">
        <f>Tabell1[[#This Row],[Buy]]*Tabell1[[#This Row],[重量 g]]</f>
        <v>0</v>
      </c>
    </row>
    <row r="11" spans="1:11" s="13" customFormat="1" x14ac:dyDescent="0.3">
      <c r="A11" s="13" t="s">
        <v>21</v>
      </c>
      <c r="B11" s="14">
        <v>85</v>
      </c>
      <c r="C11" s="15" t="s">
        <v>19</v>
      </c>
      <c r="D11" s="13">
        <v>340</v>
      </c>
      <c r="E11" s="13">
        <v>58</v>
      </c>
      <c r="F11" s="13">
        <v>2025</v>
      </c>
      <c r="G11" s="16">
        <v>1300</v>
      </c>
      <c r="H11" s="13">
        <v>1</v>
      </c>
      <c r="I11" s="16">
        <f>Tabell1[[#This Row],[Buy]]*Tabell1[[#This Row],[Price CNY]]</f>
        <v>1300</v>
      </c>
      <c r="J11" s="16">
        <f>Tabell1[[#This Row],[Buy]]*Tabell1[[#This Row],[重量 g]]</f>
        <v>340</v>
      </c>
    </row>
    <row r="12" spans="1:11" s="13" customFormat="1" x14ac:dyDescent="0.3">
      <c r="A12" s="13" t="s">
        <v>31</v>
      </c>
      <c r="B12" s="14">
        <v>85</v>
      </c>
      <c r="C12" s="15" t="s">
        <v>18</v>
      </c>
      <c r="D12" s="13">
        <v>371</v>
      </c>
      <c r="E12" s="13">
        <v>67</v>
      </c>
      <c r="F12" s="13">
        <v>2017</v>
      </c>
      <c r="G12" s="16">
        <v>2000</v>
      </c>
      <c r="I12" s="16">
        <f>Tabell1[[#This Row],[Buy]]*Tabell1[[#This Row],[Price CNY]]</f>
        <v>0</v>
      </c>
      <c r="J12" s="16">
        <f>Tabell1[[#This Row],[Buy]]*Tabell1[[#This Row],[重量 g]]</f>
        <v>0</v>
      </c>
      <c r="K12" s="13" t="s">
        <v>35</v>
      </c>
    </row>
    <row r="13" spans="1:11" x14ac:dyDescent="0.3">
      <c r="A13" s="1" t="s">
        <v>24</v>
      </c>
      <c r="B13" s="2" t="s">
        <v>13</v>
      </c>
      <c r="C13" s="3" t="s">
        <v>16</v>
      </c>
      <c r="D13" s="1">
        <v>540</v>
      </c>
      <c r="E13" s="1">
        <v>72</v>
      </c>
      <c r="F13" s="1">
        <v>2025</v>
      </c>
      <c r="G13" s="4">
        <v>4800</v>
      </c>
      <c r="H13" s="1">
        <v>1</v>
      </c>
      <c r="I13" s="4">
        <f>Tabell1[[#This Row],[Buy]]*Tabell1[[#This Row],[Price CNY]]</f>
        <v>4800</v>
      </c>
      <c r="J13" s="4">
        <f>Tabell1[[#This Row],[Buy]]*Tabell1[[#This Row],[重量 g]]</f>
        <v>540</v>
      </c>
      <c r="K13" s="1" t="s">
        <v>26</v>
      </c>
    </row>
    <row r="14" spans="1:11" x14ac:dyDescent="0.3">
      <c r="A14" s="1" t="s">
        <v>30</v>
      </c>
      <c r="C14" s="3"/>
      <c r="G14" s="4">
        <v>200</v>
      </c>
      <c r="H14" s="1">
        <v>1</v>
      </c>
      <c r="I14" s="4">
        <f>Tabell1[[#This Row],[Buy]]*Tabell1[[#This Row],[Price CNY]]</f>
        <v>200</v>
      </c>
      <c r="J14" s="4">
        <f>Tabell1[[#This Row],[Buy]]*Tabell1[[#This Row],[重量 g]]</f>
        <v>0</v>
      </c>
      <c r="K14" s="1" t="s">
        <v>36</v>
      </c>
    </row>
    <row r="15" spans="1:11" x14ac:dyDescent="0.3">
      <c r="A15" s="1" t="s">
        <v>3</v>
      </c>
      <c r="C15" s="3"/>
      <c r="D15" s="1">
        <v>514</v>
      </c>
      <c r="F15" s="1">
        <v>2023</v>
      </c>
      <c r="G15" s="4">
        <v>9500</v>
      </c>
      <c r="H15" s="1">
        <v>1</v>
      </c>
      <c r="I15" s="4">
        <f>Tabell1[[#This Row],[Buy]]*Tabell1[[#This Row],[Price CNY]]</f>
        <v>9500</v>
      </c>
      <c r="J15" s="4">
        <f>Tabell1[[#This Row],[Buy]]*Tabell1[[#This Row],[重量 g]]</f>
        <v>514</v>
      </c>
      <c r="K15" s="1" t="s">
        <v>4</v>
      </c>
    </row>
    <row r="16" spans="1:11" x14ac:dyDescent="0.3">
      <c r="A16" s="1" t="s">
        <v>5</v>
      </c>
      <c r="C16" s="3"/>
      <c r="G16" s="4">
        <v>1000</v>
      </c>
      <c r="H16" s="1">
        <v>1</v>
      </c>
      <c r="I16" s="4">
        <f>Tabell1[[#This Row],[Buy]]*Tabell1[[#This Row],[Price CNY]]</f>
        <v>1000</v>
      </c>
      <c r="J16" s="4">
        <f>Tabell1[[#This Row],[Buy]]*Tabell1[[#This Row],[重量 g]]</f>
        <v>0</v>
      </c>
      <c r="K16" s="1" t="s">
        <v>6</v>
      </c>
    </row>
    <row r="17" spans="1:11" x14ac:dyDescent="0.3">
      <c r="A17" s="1" t="s">
        <v>7</v>
      </c>
      <c r="C17" s="3"/>
      <c r="G17" s="4">
        <v>100</v>
      </c>
      <c r="H17" s="1">
        <v>1</v>
      </c>
      <c r="I17" s="4">
        <f>Tabell1[[#This Row],[Buy]]*Tabell1[[#This Row],[Price CNY]]</f>
        <v>100</v>
      </c>
      <c r="J17" s="4">
        <f>Tabell1[[#This Row],[Buy]]*Tabell1[[#This Row],[重量 g]]</f>
        <v>0</v>
      </c>
      <c r="K17" s="1" t="s">
        <v>25</v>
      </c>
    </row>
    <row r="18" spans="1:11" x14ac:dyDescent="0.3">
      <c r="G18" s="17"/>
      <c r="I18" s="17">
        <f>SUBTOTAL(109,Tabell1[Budget])</f>
        <v>21600</v>
      </c>
      <c r="J18" s="17">
        <f>SUBTOTAL(109,Tabell1[Carried])</f>
        <v>2165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 LH</dc:creator>
  <cp:lastModifiedBy>Chen LH</cp:lastModifiedBy>
  <dcterms:created xsi:type="dcterms:W3CDTF">2015-06-05T18:19:34Z</dcterms:created>
  <dcterms:modified xsi:type="dcterms:W3CDTF">2026-02-17T17:35:12Z</dcterms:modified>
</cp:coreProperties>
</file>