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amera_kits\"/>
    </mc:Choice>
  </mc:AlternateContent>
  <xr:revisionPtr revIDLastSave="0" documentId="13_ncr:1_{C2DF7CF6-006F-4848-BD06-BE75C302E773}" xr6:coauthVersionLast="47" xr6:coauthVersionMax="47" xr10:uidLastSave="{00000000-0000-0000-0000-000000000000}"/>
  <bookViews>
    <workbookView xWindow="-30816" yWindow="-96" windowWidth="30912" windowHeight="16752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2" i="1"/>
  <c r="I4" i="1"/>
  <c r="I7" i="1"/>
  <c r="I3" i="1"/>
  <c r="I5" i="1"/>
  <c r="I6" i="1"/>
  <c r="I8" i="1"/>
  <c r="I11" i="1"/>
  <c r="I12" i="1"/>
  <c r="H9" i="1"/>
  <c r="H2" i="1"/>
  <c r="H4" i="1"/>
  <c r="H7" i="1"/>
  <c r="H3" i="1"/>
  <c r="H5" i="1"/>
  <c r="H6" i="1"/>
  <c r="H8" i="1"/>
  <c r="H11" i="1"/>
  <c r="H12" i="1"/>
  <c r="H10" i="1"/>
  <c r="I13" i="1" l="1"/>
  <c r="H13" i="1"/>
</calcChain>
</file>

<file path=xl/sharedStrings.xml><?xml version="1.0" encoding="utf-8"?>
<sst xmlns="http://schemas.openxmlformats.org/spreadsheetml/2006/main" count="35" uniqueCount="28">
  <si>
    <t>Item</t>
  </si>
  <si>
    <t>Price CNY</t>
  </si>
  <si>
    <t>Notes</t>
  </si>
  <si>
    <t>Sony A7C2</t>
  </si>
  <si>
    <t>转转二手。国行新品11000</t>
  </si>
  <si>
    <t>配件</t>
  </si>
  <si>
    <t>四个UV镜，背包，快门线，CMOS清洁套装</t>
  </si>
  <si>
    <t>黑柔滤镜1/4</t>
  </si>
  <si>
    <t>重量 g</t>
  </si>
  <si>
    <t>焦距 mm</t>
  </si>
  <si>
    <t>直径 mm</t>
  </si>
  <si>
    <t>Buy</t>
  </si>
  <si>
    <t>Budget</t>
  </si>
  <si>
    <t>20-200</t>
  </si>
  <si>
    <t>七工匠</t>
  </si>
  <si>
    <t>光圈</t>
  </si>
  <si>
    <t>3.5-6.3</t>
  </si>
  <si>
    <t>1.4</t>
  </si>
  <si>
    <t>1.8</t>
  </si>
  <si>
    <t>2.0</t>
  </si>
  <si>
    <t>永诺</t>
  </si>
  <si>
    <t>唯卓仕</t>
  </si>
  <si>
    <t>Carried</t>
  </si>
  <si>
    <t>思锐</t>
  </si>
  <si>
    <t>适马</t>
  </si>
  <si>
    <t>更常用于50mm以上焦段</t>
  </si>
  <si>
    <t>拼多多。二手并不便宜。第一个镜头优先探索焦段需求，暂缓考虑画质</t>
  </si>
  <si>
    <t>补充夜景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</si>
</sst>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166" fontId="2" fillId="0" borderId="0" xfId="1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/>
    <xf numFmtId="166" fontId="2" fillId="2" borderId="0" xfId="1" applyNumberFormat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49" fontId="2" fillId="3" borderId="0" xfId="0" applyNumberFormat="1" applyFont="1" applyFill="1"/>
    <xf numFmtId="166" fontId="2" fillId="3" borderId="0" xfId="1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9" fontId="2" fillId="4" borderId="0" xfId="0" applyNumberFormat="1" applyFont="1" applyFill="1"/>
    <xf numFmtId="166" fontId="2" fillId="4" borderId="0" xfId="1" applyNumberFormat="1" applyFont="1" applyFill="1"/>
    <xf numFmtId="166" fontId="2" fillId="0" borderId="0" xfId="0" applyNumberFormat="1" applyFont="1"/>
  </cellXfs>
  <cellStyles count="2">
    <cellStyle name="K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166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166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166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166" formatCode="_ * #,##0_ ;_ * \-#,##0_ ;_ * &quot;-&quot;??_ ;_ @_ "/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166" formatCode="_ * #,##0_ ;_ * \-#,##0_ ;_ * &quot;-&quot;??_ ;_ @_ "/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166" formatCode="_ * #,##0_ ;_ * \-#,##0_ ;_ * &quot;-&quot;??_ ;_ @_ "/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YaHe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4A64F-1F32-4A13-9687-9F9344E00A77}" name="Tabell1" displayName="Tabell1" ref="A1:J13" totalsRowCount="1" headerRowDxfId="12" dataDxfId="10" totalsRowDxfId="11">
  <autoFilter ref="A1:J12" xr:uid="{4B44A64F-1F32-4A13-9687-9F9344E00A77}"/>
  <sortState xmlns:xlrd2="http://schemas.microsoft.com/office/spreadsheetml/2017/richdata2" ref="A2:J12">
    <sortCondition ref="B1:B12"/>
  </sortState>
  <tableColumns count="10">
    <tableColumn id="1" xr3:uid="{F96E38C4-EE51-47B2-8465-83D716E7CD86}" name="Item" dataDxfId="22" totalsRowDxfId="9"/>
    <tableColumn id="5" xr3:uid="{290B4921-101D-4EC3-9BA1-72D2EE653077}" name="焦距 mm" dataDxfId="21" totalsRowDxfId="8"/>
    <tableColumn id="11" xr3:uid="{CAD9269C-2D02-4EEB-96CE-D8D67E629307}" name="光圈" dataDxfId="20" totalsRowDxfId="7"/>
    <tableColumn id="6" xr3:uid="{CD3928A2-7D3B-42FF-8165-D81DFAA90150}" name="重量 g" dataDxfId="19" totalsRowDxfId="6"/>
    <tableColumn id="4" xr3:uid="{9993376C-30BF-47B2-8496-1B7D76B01E7D}" name="直径 mm" dataDxfId="18" totalsRowDxfId="5"/>
    <tableColumn id="8" xr3:uid="{8BF984FB-FE14-461C-B7B8-271BAF39CF27}" name="Price CNY" dataDxfId="17" totalsRowDxfId="4" dataCellStyle="Komma"/>
    <tableColumn id="7" xr3:uid="{254F7275-9C66-4096-9CA9-A474E7A7FA27}" name="Buy" dataDxfId="16" totalsRowDxfId="3"/>
    <tableColumn id="2" xr3:uid="{C562AE0D-0297-468F-B857-0C7E741F4CAF}" name="Budget" totalsRowFunction="sum" dataDxfId="15" totalsRowDxfId="2" dataCellStyle="Komma">
      <calculatedColumnFormula>Tabell1[[#This Row],[Buy]]*Tabell1[[#This Row],[Price CNY]]</calculatedColumnFormula>
    </tableColumn>
    <tableColumn id="10" xr3:uid="{60048395-27AC-49C9-A0CE-E9BBDB4150EF}" name="Carried" totalsRowFunction="sum" dataDxfId="14" totalsRowDxfId="1" dataCellStyle="Komma">
      <calculatedColumnFormula>Tabell1[[#This Row],[Buy]]*Tabell1[[#This Row],[重量 g]]</calculatedColumnFormula>
    </tableColumn>
    <tableColumn id="3" xr3:uid="{22514279-C08A-4A21-8911-E2CF7BD669F0}" name="Notes" dataDxfId="1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30" zoomScaleNormal="130" workbookViewId="0">
      <selection activeCell="G6" sqref="G6"/>
    </sheetView>
  </sheetViews>
  <sheetFormatPr baseColWidth="10" defaultColWidth="9.140625" defaultRowHeight="16.5" x14ac:dyDescent="0.3"/>
  <cols>
    <col min="1" max="1" width="13.28515625" style="1" bestFit="1" customWidth="1"/>
    <col min="2" max="2" width="15" style="2" bestFit="1" customWidth="1"/>
    <col min="3" max="3" width="8.42578125" style="1" bestFit="1" customWidth="1"/>
    <col min="4" max="4" width="9.85546875" style="1" bestFit="1" customWidth="1"/>
    <col min="5" max="5" width="12.7109375" style="1" bestFit="1" customWidth="1"/>
    <col min="6" max="6" width="15.28515625" style="4" bestFit="1" customWidth="1"/>
    <col min="7" max="7" width="7.7109375" style="1" bestFit="1" customWidth="1"/>
    <col min="8" max="8" width="12.5703125" style="4" bestFit="1" customWidth="1"/>
    <col min="9" max="9" width="12.42578125" style="4" bestFit="1" customWidth="1"/>
    <col min="10" max="10" width="69.28515625" style="1" bestFit="1" customWidth="1"/>
    <col min="11" max="16384" width="9.140625" style="1"/>
  </cols>
  <sheetData>
    <row r="1" spans="1:10" x14ac:dyDescent="0.3">
      <c r="A1" s="1" t="s">
        <v>0</v>
      </c>
      <c r="B1" s="2" t="s">
        <v>9</v>
      </c>
      <c r="C1" s="3" t="s">
        <v>15</v>
      </c>
      <c r="D1" s="1" t="s">
        <v>8</v>
      </c>
      <c r="E1" s="1" t="s">
        <v>10</v>
      </c>
      <c r="F1" s="4" t="s">
        <v>1</v>
      </c>
      <c r="G1" s="1" t="s">
        <v>11</v>
      </c>
      <c r="H1" s="4" t="s">
        <v>12</v>
      </c>
      <c r="I1" s="4" t="s">
        <v>22</v>
      </c>
      <c r="J1" s="1" t="s">
        <v>2</v>
      </c>
    </row>
    <row r="2" spans="1:10" s="5" customFormat="1" x14ac:dyDescent="0.3">
      <c r="A2" s="5" t="s">
        <v>23</v>
      </c>
      <c r="B2" s="6">
        <v>35</v>
      </c>
      <c r="C2" s="7" t="s">
        <v>17</v>
      </c>
      <c r="D2" s="5">
        <v>490</v>
      </c>
      <c r="E2" s="5">
        <v>62</v>
      </c>
      <c r="F2" s="8">
        <v>3600</v>
      </c>
      <c r="G2" s="5">
        <v>1</v>
      </c>
      <c r="H2" s="8">
        <f>Tabell1[[#This Row],[Buy]]*Tabell1[[#This Row],[Price CNY]]</f>
        <v>3600</v>
      </c>
      <c r="I2" s="8">
        <f>Tabell1[[#This Row],[Buy]]*Tabell1[[#This Row],[重量 g]]</f>
        <v>490</v>
      </c>
      <c r="J2" s="5" t="s">
        <v>27</v>
      </c>
    </row>
    <row r="3" spans="1:10" s="5" customFormat="1" x14ac:dyDescent="0.3">
      <c r="A3" s="5" t="s">
        <v>14</v>
      </c>
      <c r="B3" s="6">
        <v>35</v>
      </c>
      <c r="C3" s="7" t="s">
        <v>18</v>
      </c>
      <c r="D3" s="5">
        <v>426</v>
      </c>
      <c r="E3" s="5">
        <v>62</v>
      </c>
      <c r="F3" s="8">
        <v>1550</v>
      </c>
      <c r="H3" s="8">
        <f>Tabell1[[#This Row],[Buy]]*Tabell1[[#This Row],[Price CNY]]</f>
        <v>0</v>
      </c>
      <c r="I3" s="8">
        <f>Tabell1[[#This Row],[Buy]]*Tabell1[[#This Row],[重量 g]]</f>
        <v>0</v>
      </c>
    </row>
    <row r="4" spans="1:10" s="9" customFormat="1" x14ac:dyDescent="0.3">
      <c r="A4" s="9" t="s">
        <v>14</v>
      </c>
      <c r="B4" s="10">
        <v>50</v>
      </c>
      <c r="C4" s="11" t="s">
        <v>18</v>
      </c>
      <c r="D4" s="9">
        <v>421</v>
      </c>
      <c r="E4" s="9">
        <v>62</v>
      </c>
      <c r="F4" s="12">
        <v>1000</v>
      </c>
      <c r="G4" s="9">
        <v>1</v>
      </c>
      <c r="H4" s="12">
        <f>Tabell1[[#This Row],[Buy]]*Tabell1[[#This Row],[Price CNY]]</f>
        <v>1000</v>
      </c>
      <c r="I4" s="12">
        <f>Tabell1[[#This Row],[Buy]]*Tabell1[[#This Row],[重量 g]]</f>
        <v>421</v>
      </c>
    </row>
    <row r="5" spans="1:10" s="9" customFormat="1" x14ac:dyDescent="0.3">
      <c r="A5" s="9" t="s">
        <v>20</v>
      </c>
      <c r="B5" s="10">
        <v>50</v>
      </c>
      <c r="C5" s="11" t="s">
        <v>18</v>
      </c>
      <c r="D5" s="9">
        <v>273</v>
      </c>
      <c r="E5" s="9">
        <v>58</v>
      </c>
      <c r="F5" s="12">
        <v>800</v>
      </c>
      <c r="H5" s="12">
        <f>Tabell1[[#This Row],[Buy]]*Tabell1[[#This Row],[Price CNY]]</f>
        <v>0</v>
      </c>
      <c r="I5" s="12">
        <f>Tabell1[[#This Row],[Buy]]*Tabell1[[#This Row],[重量 g]]</f>
        <v>0</v>
      </c>
    </row>
    <row r="6" spans="1:10" s="9" customFormat="1" x14ac:dyDescent="0.3">
      <c r="A6" s="9" t="s">
        <v>21</v>
      </c>
      <c r="B6" s="10">
        <v>50</v>
      </c>
      <c r="C6" s="11" t="s">
        <v>19</v>
      </c>
      <c r="D6" s="9">
        <v>205</v>
      </c>
      <c r="E6" s="9">
        <v>58</v>
      </c>
      <c r="F6" s="12">
        <v>1000</v>
      </c>
      <c r="H6" s="12">
        <f>Tabell1[[#This Row],[Buy]]*Tabell1[[#This Row],[Price CNY]]</f>
        <v>0</v>
      </c>
      <c r="I6" s="12">
        <f>Tabell1[[#This Row],[Buy]]*Tabell1[[#This Row],[重量 g]]</f>
        <v>0</v>
      </c>
    </row>
    <row r="7" spans="1:10" s="13" customFormat="1" x14ac:dyDescent="0.3">
      <c r="A7" s="13" t="s">
        <v>21</v>
      </c>
      <c r="B7" s="14">
        <v>85</v>
      </c>
      <c r="C7" s="15" t="s">
        <v>19</v>
      </c>
      <c r="D7" s="13">
        <v>340</v>
      </c>
      <c r="E7" s="13">
        <v>58</v>
      </c>
      <c r="F7" s="16">
        <v>1300</v>
      </c>
      <c r="G7" s="13">
        <v>1</v>
      </c>
      <c r="H7" s="16">
        <f>Tabell1[[#This Row],[Buy]]*Tabell1[[#This Row],[Price CNY]]</f>
        <v>1300</v>
      </c>
      <c r="I7" s="16">
        <f>Tabell1[[#This Row],[Buy]]*Tabell1[[#This Row],[重量 g]]</f>
        <v>340</v>
      </c>
    </row>
    <row r="8" spans="1:10" s="13" customFormat="1" x14ac:dyDescent="0.3">
      <c r="A8" s="13" t="s">
        <v>14</v>
      </c>
      <c r="B8" s="14">
        <v>85</v>
      </c>
      <c r="C8" s="15" t="s">
        <v>18</v>
      </c>
      <c r="D8" s="13">
        <v>440</v>
      </c>
      <c r="E8" s="13">
        <v>62</v>
      </c>
      <c r="F8" s="16">
        <v>1500</v>
      </c>
      <c r="H8" s="16">
        <f>Tabell1[[#This Row],[Buy]]*Tabell1[[#This Row],[Price CNY]]</f>
        <v>0</v>
      </c>
      <c r="I8" s="16">
        <f>Tabell1[[#This Row],[Buy]]*Tabell1[[#This Row],[重量 g]]</f>
        <v>0</v>
      </c>
    </row>
    <row r="9" spans="1:10" x14ac:dyDescent="0.3">
      <c r="A9" s="1" t="s">
        <v>24</v>
      </c>
      <c r="B9" s="2" t="s">
        <v>13</v>
      </c>
      <c r="C9" s="3" t="s">
        <v>16</v>
      </c>
      <c r="D9" s="1">
        <v>540</v>
      </c>
      <c r="E9" s="1">
        <v>72</v>
      </c>
      <c r="F9" s="4">
        <v>4800</v>
      </c>
      <c r="G9" s="1">
        <v>1</v>
      </c>
      <c r="H9" s="4">
        <f>Tabell1[[#This Row],[Buy]]*Tabell1[[#This Row],[Price CNY]]</f>
        <v>4800</v>
      </c>
      <c r="I9" s="4">
        <f>Tabell1[[#This Row],[Buy]]*Tabell1[[#This Row],[重量 g]]</f>
        <v>540</v>
      </c>
      <c r="J9" s="1" t="s">
        <v>26</v>
      </c>
    </row>
    <row r="10" spans="1:10" x14ac:dyDescent="0.3">
      <c r="A10" s="1" t="s">
        <v>3</v>
      </c>
      <c r="C10" s="3"/>
      <c r="D10" s="1">
        <v>514</v>
      </c>
      <c r="F10" s="4">
        <v>9500</v>
      </c>
      <c r="G10" s="1">
        <v>1</v>
      </c>
      <c r="H10" s="4">
        <f>Tabell1[[#This Row],[Buy]]*Tabell1[[#This Row],[Price CNY]]</f>
        <v>9500</v>
      </c>
      <c r="I10" s="4">
        <f>Tabell1[[#This Row],[Buy]]*Tabell1[[#This Row],[重量 g]]</f>
        <v>514</v>
      </c>
      <c r="J10" s="1" t="s">
        <v>4</v>
      </c>
    </row>
    <row r="11" spans="1:10" x14ac:dyDescent="0.3">
      <c r="A11" s="1" t="s">
        <v>7</v>
      </c>
      <c r="C11" s="3"/>
      <c r="F11" s="4">
        <v>100</v>
      </c>
      <c r="G11" s="1">
        <v>1</v>
      </c>
      <c r="H11" s="4">
        <f>Tabell1[[#This Row],[Buy]]*Tabell1[[#This Row],[Price CNY]]</f>
        <v>100</v>
      </c>
      <c r="I11" s="4">
        <f>Tabell1[[#This Row],[Buy]]*Tabell1[[#This Row],[重量 g]]</f>
        <v>0</v>
      </c>
      <c r="J11" s="1" t="s">
        <v>25</v>
      </c>
    </row>
    <row r="12" spans="1:10" x14ac:dyDescent="0.3">
      <c r="A12" s="1" t="s">
        <v>5</v>
      </c>
      <c r="C12" s="3"/>
      <c r="F12" s="4">
        <v>1000</v>
      </c>
      <c r="G12" s="1">
        <v>1</v>
      </c>
      <c r="H12" s="4">
        <f>Tabell1[[#This Row],[Buy]]*Tabell1[[#This Row],[Price CNY]]</f>
        <v>1000</v>
      </c>
      <c r="I12" s="4">
        <f>Tabell1[[#This Row],[Buy]]*Tabell1[[#This Row],[重量 g]]</f>
        <v>0</v>
      </c>
      <c r="J12" s="1" t="s">
        <v>6</v>
      </c>
    </row>
    <row r="13" spans="1:10" x14ac:dyDescent="0.3">
      <c r="F13" s="17"/>
      <c r="H13" s="17">
        <f>SUBTOTAL(109,Tabell1[Budget])</f>
        <v>21300</v>
      </c>
      <c r="I13" s="17">
        <f>SUBTOTAL(109,Tabell1[Carried])</f>
        <v>2305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LH</dc:creator>
  <cp:lastModifiedBy>Chen LH</cp:lastModifiedBy>
  <dcterms:created xsi:type="dcterms:W3CDTF">2015-06-05T18:19:34Z</dcterms:created>
  <dcterms:modified xsi:type="dcterms:W3CDTF">2026-02-15T22:50:16Z</dcterms:modified>
</cp:coreProperties>
</file>